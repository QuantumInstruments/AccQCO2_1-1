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csmorling/RCSM/Industry/Enervative/PCBs/AccQCO2_1-1/pcbway_submission/"/>
    </mc:Choice>
  </mc:AlternateContent>
  <xr:revisionPtr revIDLastSave="0" documentId="13_ncr:1_{BA10903D-2246-254D-9A0E-E9C04E9A16DA}" xr6:coauthVersionLast="47" xr6:coauthVersionMax="47" xr10:uidLastSave="{00000000-0000-0000-0000-000000000000}"/>
  <bookViews>
    <workbookView xWindow="0" yWindow="660" windowWidth="29400" windowHeight="16520" xr2:uid="{02823B84-9E28-4C60-B3B2-E80FDB6A4FE4}"/>
  </bookViews>
  <sheets>
    <sheet name="AccQRHT_1-0.kicad_pcb_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E21" i="1"/>
  <c r="E20" i="1"/>
  <c r="E19" i="1"/>
  <c r="B19" i="1"/>
</calcChain>
</file>

<file path=xl/sharedStrings.xml><?xml version="1.0" encoding="utf-8"?>
<sst xmlns="http://schemas.openxmlformats.org/spreadsheetml/2006/main" count="127" uniqueCount="96">
  <si>
    <t>Designator</t>
  </si>
  <si>
    <t>Quantity</t>
  </si>
  <si>
    <t>Value</t>
  </si>
  <si>
    <t>Footprint</t>
  </si>
  <si>
    <t>PartNo</t>
  </si>
  <si>
    <t>Description</t>
  </si>
  <si>
    <t>100uF 10V</t>
  </si>
  <si>
    <t>CP_EIA-6032-28_Kemet-C_HandSolder</t>
  </si>
  <si>
    <t>smt</t>
  </si>
  <si>
    <t>100uF 6.3V</t>
  </si>
  <si>
    <t>CP_EIA-3528-21_Kemet-B_HandSolder</t>
  </si>
  <si>
    <t>C_0805_2012Metric_Pad1.18x1.45mm_HandSolder</t>
  </si>
  <si>
    <t>C_0402_1005Metric_Pad0.74x0.62mm_HandSolder</t>
  </si>
  <si>
    <t>FB1</t>
  </si>
  <si>
    <t>0.8A</t>
  </si>
  <si>
    <t>R_0603_1608Metric</t>
  </si>
  <si>
    <t>Ferrite bead</t>
  </si>
  <si>
    <t>TDK</t>
  </si>
  <si>
    <t>J1</t>
  </si>
  <si>
    <t>tht</t>
  </si>
  <si>
    <t>RJ45 connector, 8P8C w/o LED &amp; Magnetics</t>
  </si>
  <si>
    <t>110R</t>
  </si>
  <si>
    <t>R_1206_3216Metric_Pad1.30x1.75mm_HandSolder</t>
  </si>
  <si>
    <t>10K</t>
  </si>
  <si>
    <t>U1</t>
  </si>
  <si>
    <t>PCA9615DP</t>
  </si>
  <si>
    <t>TSSOP-10_3x3mm_P0.5mm</t>
  </si>
  <si>
    <t>PCA9615DPZ</t>
  </si>
  <si>
    <t>U2</t>
  </si>
  <si>
    <t>SHT45-AD1F-R2</t>
  </si>
  <si>
    <t>SHT4X</t>
  </si>
  <si>
    <t>Sensirion</t>
  </si>
  <si>
    <t>NXP</t>
  </si>
  <si>
    <t>Manufacturer</t>
  </si>
  <si>
    <t>Mount Type</t>
  </si>
  <si>
    <t>Comments</t>
  </si>
  <si>
    <t>Total Parts</t>
  </si>
  <si>
    <t>Total number of types</t>
  </si>
  <si>
    <t>Total SMT</t>
  </si>
  <si>
    <t>Total SMT types</t>
  </si>
  <si>
    <t>Total THT</t>
  </si>
  <si>
    <t>Total THT types</t>
  </si>
  <si>
    <t>MPZ1608S102ATA00</t>
  </si>
  <si>
    <t>J2</t>
  </si>
  <si>
    <t>U3</t>
  </si>
  <si>
    <t>TLV1117-33CKVURG3</t>
  </si>
  <si>
    <t>U4</t>
  </si>
  <si>
    <t>SCD43</t>
  </si>
  <si>
    <t>TO-252-2</t>
  </si>
  <si>
    <t>Sensirion_SCD4x-1EP_10.1x10.1mm_P1.25mm_EP4.8x4.8mm</t>
  </si>
  <si>
    <t>100nF 50V  X7R</t>
  </si>
  <si>
    <t>MLCC Capacitor  X7R</t>
  </si>
  <si>
    <t>Generic</t>
  </si>
  <si>
    <t>100nF 16V X7R</t>
  </si>
  <si>
    <t>Note small footprint Part equivalent to Kyocera AVX KGM05AR71C104KN</t>
  </si>
  <si>
    <t>Tantalum Capacitor</t>
  </si>
  <si>
    <t>Resistor 1%  0.25W</t>
  </si>
  <si>
    <t>SCD43-D-R2</t>
  </si>
  <si>
    <t>Buffer, ReDriver 2 Channel 400kHz 10-TSSOP</t>
  </si>
  <si>
    <t>Digital Relative Humidity Temperature Sensor, ±1.0 %RH, ±0.1 °C, Ultra-Low-Power, with filtermembrane</t>
  </si>
  <si>
    <t>LDO 800mA Linear Regulator, Fixed Output, TO-252</t>
  </si>
  <si>
    <t>Photoacoustic CO2 sensor, 40 000 ppm, I2C, 2.4-5.5 V, Base accuracy  400 - 2000 ppm</t>
  </si>
  <si>
    <t>Texas</t>
  </si>
  <si>
    <t>Alternative Parts:
Diodes Incorporated: AZ1117D-3.3TRE1 STMicroelectronics: LD1117DT33TR or LD1117V33 
ON Semiconductor: NCP1117DT33G</t>
  </si>
  <si>
    <t>C2</t>
  </si>
  <si>
    <t>C4, C5, C7</t>
  </si>
  <si>
    <t>C6, C8</t>
  </si>
  <si>
    <t>R1, R3</t>
  </si>
  <si>
    <t>R2, R4</t>
  </si>
  <si>
    <t>1K</t>
  </si>
  <si>
    <t>RN1</t>
  </si>
  <si>
    <t>YC164-JR-07620RL</t>
  </si>
  <si>
    <t>R_Array_Convex_4x0603</t>
  </si>
  <si>
    <t>±5% 62.5mW Power Per Element Isolated 4 Resistor Network</t>
  </si>
  <si>
    <t>Yageo</t>
  </si>
  <si>
    <t xml:space="preserve">4 x 620R </t>
  </si>
  <si>
    <t>China sourced equivalent OK</t>
  </si>
  <si>
    <t>R5</t>
  </si>
  <si>
    <t>Enervative AccQ CO2 Board BoM V1.1 - 2026-10-26</t>
  </si>
  <si>
    <t>C1, C3, C9, C10, C11</t>
  </si>
  <si>
    <t>U5</t>
  </si>
  <si>
    <t>M24C02-FMH6TG</t>
  </si>
  <si>
    <t>IC_M24128-BFMH6TG</t>
  </si>
  <si>
    <t>ST Microelectronics</t>
  </si>
  <si>
    <t>I2C Serial EEPROM, 2Kb, UFDFPN5</t>
  </si>
  <si>
    <t>256x8 ROM</t>
  </si>
  <si>
    <t>AMPHENOL_54602-908LF</t>
  </si>
  <si>
    <t>54602-908LF</t>
  </si>
  <si>
    <t>Amphenol</t>
  </si>
  <si>
    <t>RJ45 JACK</t>
  </si>
  <si>
    <t>10% or 20% Tolerance acceptable</t>
  </si>
  <si>
    <t>Barrel_Jack_Switch</t>
  </si>
  <si>
    <t>CUI_PJ-102</t>
  </si>
  <si>
    <t>PJ-102A</t>
  </si>
  <si>
    <t>Same Sky</t>
  </si>
  <si>
    <t>DC Barrel Jack with an internal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</si>
</sst>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10" xfId="0" applyNumberFormat="1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10" xfId="0" applyBorder="1"/>
    <xf numFmtId="49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/>
    </xf>
    <xf numFmtId="49" fontId="0" fillId="0" borderId="11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DA79-6C07-45C6-B06C-0DB1E7B173BA}">
  <dimension ref="A1:J21"/>
  <sheetViews>
    <sheetView tabSelected="1" zoomScaleNormal="100" workbookViewId="0">
      <selection activeCell="D6" sqref="D6"/>
    </sheetView>
  </sheetViews>
  <sheetFormatPr baseColWidth="10" defaultColWidth="8.6640625" defaultRowHeight="15" x14ac:dyDescent="0.2"/>
  <cols>
    <col min="1" max="1" width="10.5" style="13" customWidth="1"/>
    <col min="2" max="2" width="7.6640625" style="2" customWidth="1"/>
    <col min="3" max="3" width="18.1640625" style="10" customWidth="1"/>
    <col min="4" max="4" width="49" style="10" customWidth="1"/>
    <col min="5" max="5" width="7.33203125" style="2" customWidth="1"/>
    <col min="6" max="6" width="18.1640625" style="10" customWidth="1"/>
    <col min="7" max="7" width="16" style="10" customWidth="1"/>
    <col min="8" max="8" width="39.5" style="10" customWidth="1"/>
    <col min="9" max="9" width="34.6640625" style="10" customWidth="1"/>
    <col min="11" max="16384" width="8.6640625" style="10"/>
  </cols>
  <sheetData>
    <row r="1" spans="1:10" ht="24" x14ac:dyDescent="0.2">
      <c r="A1" s="9" t="s">
        <v>78</v>
      </c>
    </row>
    <row r="2" spans="1:10" ht="28" customHeight="1" x14ac:dyDescent="0.2">
      <c r="A2" s="12" t="s">
        <v>0</v>
      </c>
      <c r="B2" s="4" t="s">
        <v>1</v>
      </c>
      <c r="C2" s="11" t="s">
        <v>2</v>
      </c>
      <c r="D2" s="11" t="s">
        <v>3</v>
      </c>
      <c r="E2" s="3" t="s">
        <v>34</v>
      </c>
      <c r="F2" s="8" t="s">
        <v>4</v>
      </c>
      <c r="G2" s="11" t="s">
        <v>33</v>
      </c>
      <c r="H2" s="11" t="s">
        <v>5</v>
      </c>
      <c r="I2" s="11" t="s">
        <v>35</v>
      </c>
    </row>
    <row r="3" spans="1:10" ht="28" customHeight="1" x14ac:dyDescent="0.2">
      <c r="A3" s="12" t="s">
        <v>79</v>
      </c>
      <c r="B3" s="4">
        <v>5</v>
      </c>
      <c r="C3" s="11" t="s">
        <v>50</v>
      </c>
      <c r="D3" s="11" t="s">
        <v>11</v>
      </c>
      <c r="E3" s="4" t="s">
        <v>8</v>
      </c>
      <c r="F3" s="8"/>
      <c r="G3" s="12" t="s">
        <v>52</v>
      </c>
      <c r="H3" s="11" t="s">
        <v>51</v>
      </c>
      <c r="I3" s="11"/>
    </row>
    <row r="4" spans="1:10" ht="28" customHeight="1" x14ac:dyDescent="0.2">
      <c r="A4" s="12" t="s">
        <v>64</v>
      </c>
      <c r="B4" s="4">
        <v>1</v>
      </c>
      <c r="C4" s="8" t="s">
        <v>53</v>
      </c>
      <c r="D4" s="8" t="s">
        <v>12</v>
      </c>
      <c r="E4" s="4" t="s">
        <v>8</v>
      </c>
      <c r="F4" s="8"/>
      <c r="G4" s="12" t="s">
        <v>52</v>
      </c>
      <c r="H4" s="11" t="s">
        <v>51</v>
      </c>
      <c r="I4" s="12" t="s">
        <v>54</v>
      </c>
    </row>
    <row r="5" spans="1:10" ht="28" customHeight="1" x14ac:dyDescent="0.2">
      <c r="A5" s="12" t="s">
        <v>65</v>
      </c>
      <c r="B5" s="4">
        <v>3</v>
      </c>
      <c r="C5" s="8" t="s">
        <v>6</v>
      </c>
      <c r="D5" s="8" t="s">
        <v>7</v>
      </c>
      <c r="E5" s="4" t="s">
        <v>8</v>
      </c>
      <c r="F5" s="8"/>
      <c r="G5" s="12" t="s">
        <v>52</v>
      </c>
      <c r="H5" s="11" t="s">
        <v>55</v>
      </c>
      <c r="I5" s="11" t="s">
        <v>90</v>
      </c>
    </row>
    <row r="6" spans="1:10" ht="28" customHeight="1" x14ac:dyDescent="0.2">
      <c r="A6" s="5" t="s">
        <v>66</v>
      </c>
      <c r="B6" s="4">
        <v>2</v>
      </c>
      <c r="C6" s="14" t="s">
        <v>9</v>
      </c>
      <c r="D6" s="14" t="s">
        <v>10</v>
      </c>
      <c r="E6" s="4" t="s">
        <v>8</v>
      </c>
      <c r="F6" s="8"/>
      <c r="G6" s="12" t="s">
        <v>52</v>
      </c>
      <c r="H6" s="11" t="s">
        <v>55</v>
      </c>
      <c r="I6" s="11" t="s">
        <v>90</v>
      </c>
    </row>
    <row r="7" spans="1:10" ht="28" customHeight="1" x14ac:dyDescent="0.2">
      <c r="A7" s="19" t="s">
        <v>13</v>
      </c>
      <c r="B7" s="20">
        <v>1</v>
      </c>
      <c r="C7" s="21" t="s">
        <v>14</v>
      </c>
      <c r="D7" s="21" t="s">
        <v>15</v>
      </c>
      <c r="E7" s="20" t="s">
        <v>8</v>
      </c>
      <c r="F7" s="22" t="s">
        <v>42</v>
      </c>
      <c r="G7" s="23" t="s">
        <v>17</v>
      </c>
      <c r="H7" s="24" t="s">
        <v>16</v>
      </c>
      <c r="I7" s="24"/>
    </row>
    <row r="8" spans="1:10" s="16" customFormat="1" ht="16" x14ac:dyDescent="0.2">
      <c r="A8" s="15" t="s">
        <v>18</v>
      </c>
      <c r="B8" s="16">
        <v>1</v>
      </c>
      <c r="C8" s="17" t="s">
        <v>89</v>
      </c>
      <c r="D8" s="17" t="s">
        <v>86</v>
      </c>
      <c r="E8" s="18" t="s">
        <v>19</v>
      </c>
      <c r="F8" s="16" t="s">
        <v>87</v>
      </c>
      <c r="G8" s="16" t="s">
        <v>88</v>
      </c>
      <c r="H8" s="15" t="s">
        <v>20</v>
      </c>
    </row>
    <row r="9" spans="1:10" s="11" customFormat="1" ht="16" x14ac:dyDescent="0.2">
      <c r="A9" s="16" t="s">
        <v>43</v>
      </c>
      <c r="B9" s="16">
        <v>1</v>
      </c>
      <c r="C9" s="16" t="s">
        <v>91</v>
      </c>
      <c r="D9" s="16" t="s">
        <v>92</v>
      </c>
      <c r="E9" s="16" t="s">
        <v>19</v>
      </c>
      <c r="F9" s="16" t="s">
        <v>93</v>
      </c>
      <c r="G9" s="16" t="s">
        <v>94</v>
      </c>
      <c r="H9" s="16" t="s">
        <v>95</v>
      </c>
      <c r="I9" s="5" t="s">
        <v>76</v>
      </c>
      <c r="J9" s="16"/>
    </row>
    <row r="10" spans="1:10" ht="16" x14ac:dyDescent="0.2">
      <c r="A10" s="25" t="s">
        <v>67</v>
      </c>
      <c r="B10" s="26">
        <v>2</v>
      </c>
      <c r="C10" s="27" t="s">
        <v>23</v>
      </c>
      <c r="D10" s="27" t="s">
        <v>22</v>
      </c>
      <c r="E10" s="26" t="s">
        <v>8</v>
      </c>
      <c r="F10" s="27"/>
      <c r="G10" s="28" t="s">
        <v>52</v>
      </c>
      <c r="H10" s="28" t="s">
        <v>56</v>
      </c>
      <c r="I10" s="25"/>
    </row>
    <row r="11" spans="1:10" ht="16" x14ac:dyDescent="0.2">
      <c r="A11" s="12" t="s">
        <v>68</v>
      </c>
      <c r="B11" s="4">
        <v>2</v>
      </c>
      <c r="C11" s="8" t="s">
        <v>21</v>
      </c>
      <c r="D11" s="8" t="s">
        <v>22</v>
      </c>
      <c r="E11" s="4" t="s">
        <v>8</v>
      </c>
      <c r="F11" s="8"/>
      <c r="G11" s="1" t="s">
        <v>52</v>
      </c>
      <c r="H11" s="1" t="s">
        <v>56</v>
      </c>
      <c r="I11" s="11"/>
    </row>
    <row r="12" spans="1:10" ht="16" x14ac:dyDescent="0.2">
      <c r="A12" s="12" t="s">
        <v>77</v>
      </c>
      <c r="B12" s="4">
        <v>1</v>
      </c>
      <c r="C12" s="8" t="s">
        <v>69</v>
      </c>
      <c r="D12" s="8" t="s">
        <v>22</v>
      </c>
      <c r="E12" s="4" t="s">
        <v>8</v>
      </c>
      <c r="F12" s="8"/>
      <c r="G12" s="1" t="s">
        <v>52</v>
      </c>
      <c r="H12" s="1" t="s">
        <v>56</v>
      </c>
      <c r="I12" s="12"/>
    </row>
    <row r="13" spans="1:10" ht="32" x14ac:dyDescent="0.2">
      <c r="A13" s="5" t="s">
        <v>70</v>
      </c>
      <c r="B13" s="4">
        <v>1</v>
      </c>
      <c r="C13" s="1" t="s">
        <v>75</v>
      </c>
      <c r="D13" s="1" t="s">
        <v>72</v>
      </c>
      <c r="E13" s="4" t="s">
        <v>8</v>
      </c>
      <c r="F13" s="1" t="s">
        <v>71</v>
      </c>
      <c r="G13" s="1" t="s">
        <v>74</v>
      </c>
      <c r="H13" s="5" t="s">
        <v>73</v>
      </c>
      <c r="I13" s="5" t="s">
        <v>76</v>
      </c>
    </row>
    <row r="14" spans="1:10" ht="16" x14ac:dyDescent="0.2">
      <c r="A14" s="12" t="s">
        <v>24</v>
      </c>
      <c r="B14" s="4">
        <v>1</v>
      </c>
      <c r="C14" s="8" t="s">
        <v>25</v>
      </c>
      <c r="D14" s="8" t="s">
        <v>26</v>
      </c>
      <c r="E14" s="4" t="s">
        <v>8</v>
      </c>
      <c r="F14" s="14" t="s">
        <v>27</v>
      </c>
      <c r="G14" s="1" t="s">
        <v>32</v>
      </c>
      <c r="H14" s="5" t="s">
        <v>58</v>
      </c>
      <c r="I14" s="11"/>
    </row>
    <row r="15" spans="1:10" ht="48" x14ac:dyDescent="0.2">
      <c r="A15" s="12" t="s">
        <v>28</v>
      </c>
      <c r="B15" s="4">
        <v>1</v>
      </c>
      <c r="C15" s="8" t="s">
        <v>29</v>
      </c>
      <c r="D15" s="8" t="s">
        <v>30</v>
      </c>
      <c r="E15" s="4" t="s">
        <v>8</v>
      </c>
      <c r="F15" s="14" t="s">
        <v>29</v>
      </c>
      <c r="G15" s="1" t="s">
        <v>31</v>
      </c>
      <c r="H15" s="5" t="s">
        <v>59</v>
      </c>
      <c r="I15" s="11"/>
    </row>
    <row r="16" spans="1:10" ht="80" x14ac:dyDescent="0.2">
      <c r="A16" s="12" t="s">
        <v>44</v>
      </c>
      <c r="B16" s="4">
        <v>1</v>
      </c>
      <c r="C16" s="8" t="s">
        <v>45</v>
      </c>
      <c r="D16" s="8" t="s">
        <v>48</v>
      </c>
      <c r="E16" s="4" t="s">
        <v>8</v>
      </c>
      <c r="F16" s="14" t="s">
        <v>45</v>
      </c>
      <c r="G16" s="1" t="s">
        <v>62</v>
      </c>
      <c r="H16" s="5" t="s">
        <v>60</v>
      </c>
      <c r="I16" s="5" t="s">
        <v>63</v>
      </c>
    </row>
    <row r="17" spans="1:9" ht="32" x14ac:dyDescent="0.2">
      <c r="A17" s="12" t="s">
        <v>46</v>
      </c>
      <c r="B17" s="4">
        <v>1</v>
      </c>
      <c r="C17" s="8" t="s">
        <v>47</v>
      </c>
      <c r="D17" s="8" t="s">
        <v>49</v>
      </c>
      <c r="E17" s="4" t="s">
        <v>8</v>
      </c>
      <c r="F17" s="14" t="s">
        <v>57</v>
      </c>
      <c r="G17" s="1" t="s">
        <v>31</v>
      </c>
      <c r="H17" s="5" t="s">
        <v>61</v>
      </c>
      <c r="I17" s="11"/>
    </row>
    <row r="18" spans="1:9" customFormat="1" ht="16" x14ac:dyDescent="0.2">
      <c r="A18" s="15" t="s">
        <v>80</v>
      </c>
      <c r="B18" s="16">
        <v>1</v>
      </c>
      <c r="C18" s="1" t="s">
        <v>85</v>
      </c>
      <c r="D18" s="17" t="s">
        <v>82</v>
      </c>
      <c r="E18" s="18" t="s">
        <v>8</v>
      </c>
      <c r="F18" s="16" t="s">
        <v>81</v>
      </c>
      <c r="G18" s="16" t="s">
        <v>83</v>
      </c>
      <c r="H18" s="15" t="s">
        <v>84</v>
      </c>
      <c r="I18" s="16"/>
    </row>
    <row r="19" spans="1:9" ht="16" x14ac:dyDescent="0.2">
      <c r="A19" s="13" t="s">
        <v>36</v>
      </c>
      <c r="B19" s="2">
        <f>SUM($B$3:$B$18)</f>
        <v>25</v>
      </c>
      <c r="D19" s="10" t="s">
        <v>37</v>
      </c>
      <c r="E19" s="6">
        <f>COUNTA($E$3:$E$18)</f>
        <v>16</v>
      </c>
      <c r="F19" s="7"/>
      <c r="G19" s="7"/>
      <c r="H19" s="7"/>
    </row>
    <row r="20" spans="1:9" ht="16" x14ac:dyDescent="0.2">
      <c r="A20" s="13" t="s">
        <v>38</v>
      </c>
      <c r="B20" s="2">
        <f>SUMIF($E$3:$E$18,"smt",$B$3:$B$18)</f>
        <v>23</v>
      </c>
      <c r="D20" s="10" t="s">
        <v>39</v>
      </c>
      <c r="E20" s="6">
        <f>COUNTIF($E$3:$E$18,"smt")</f>
        <v>14</v>
      </c>
      <c r="F20" s="7"/>
      <c r="G20" s="7"/>
      <c r="H20" s="7"/>
    </row>
    <row r="21" spans="1:9" ht="16" x14ac:dyDescent="0.2">
      <c r="A21" s="13" t="s">
        <v>40</v>
      </c>
      <c r="B21" s="2">
        <f>SUMIF($E$3:$E$18,"tht",$B$3:$B$18)</f>
        <v>2</v>
      </c>
      <c r="D21" s="10" t="s">
        <v>41</v>
      </c>
      <c r="E21" s="6">
        <f>COUNTIF($E$3:$E$18,"tht")</f>
        <v>2</v>
      </c>
      <c r="F21" s="7"/>
      <c r="G21" s="7"/>
      <c r="H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AccQRHT_1-0.kicad_pcb_bom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 Morling</dc:creator>
  <cp:lastModifiedBy>Dik Morling</cp:lastModifiedBy>
  <dcterms:created xsi:type="dcterms:W3CDTF">2026-02-12T09:46:38Z</dcterms:created>
  <dcterms:modified xsi:type="dcterms:W3CDTF">2026-10-29T01:03:36Z</dcterms:modified>
</cp:coreProperties>
</file>